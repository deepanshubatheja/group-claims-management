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a4df62687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ings" sheetId="1" r:id="R70d0e16362b1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83B5B"/>
      <x:name val="Carlito"/>
    </x:font>
    <x:font>
      <x:b/>
      <x:sz val="11"/>
      <x:color rgb="FFFFFFFF"/>
      <x:name val="Carlito"/>
    </x:font>
    <x:font>
      <x:i/>
      <x:sz val="11"/>
      <x:color rgb="FF4A617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244F75"/>
      </x:patternFill>
    </x:fill>
    <x:fill>
      <x:patternFill patternType="solid">
        <x:fgColor rgb="FFEAF1F6"/>
      </x:patternFill>
    </x:fill>
  </x:fills>
  <x:borders count="2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37413d9434f03" /><Relationship Type="http://schemas.openxmlformats.org/officeDocument/2006/relationships/theme" Target="/xl/theme/theme1.xml" Id="Ra53a2660f2104288" /><Relationship Type="http://schemas.openxmlformats.org/officeDocument/2006/relationships/sharedStrings" Target="/xl/sharedStrings.xml" Id="Rc5a7235f51b647fc" /><Relationship Type="http://schemas.openxmlformats.org/officeDocument/2006/relationships/worksheet" Target="/xl/worksheets/sheet1.xml" Id="R70d0e16362b146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16" hidden="0" customWidth="1"/>
    <x:col min="4" max="4" width="16" hidden="0" customWidth="1"/>
    <x:col min="5" max="5" width="36" hidden="0" customWidth="1"/>
    <x:col min="6" max="6" width="12" hidden="0" customWidth="1"/>
    <x:col min="7" max="7" width="22" hidden="0" customWidth="1"/>
    <x:col min="8" max="8" width="40" hidden="0" customWidth="1"/>
  </x:cols>
  <x:sheetData>
    <x:row r="1" ht="28" customHeight="1">
      <x:c r="A1" s="4" t="str">
        <x:v>SYNTHETIC TEST DATA - NOT CLIENT HOLDINGS</x:v>
      </x:c>
    </x:row>
    <x:row r="3">
      <x:c r="A3" s="5" t="str">
        <x:v>As of date</x:v>
      </x:c>
      <x:c r="B3" s="6" t="n">
        <x:v>45046</x:v>
      </x:c>
      <x:c r="C3"/>
      <x:c r="D3"/>
      <x:c r="E3"/>
      <x:c r="F3"/>
      <x:c r="G3"/>
      <x:c r="H3"/>
    </x:row>
    <x:row r="4">
      <x:c r="A4" s="5" t="str">
        <x:v>Investor / legal entity</x:v>
      </x:c>
      <x:c r="B4" t="str">
        <x:v>Northstar Investors LP</x:v>
      </x:c>
      <x:c r="C4"/>
      <x:c r="D4"/>
      <x:c r="E4"/>
      <x:c r="F4"/>
      <x:c r="G4"/>
      <x:c r="H4"/>
    </x:row>
    <x:row r="5">
      <x:c r="A5" s="5" t="str">
        <x:v>Matter</x:v>
      </x:c>
      <x:c r="B5" t="str">
        <x:v>Synthetic Credit Suisse Test Matter</x:v>
      </x:c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 s="12" t="str">
        <x:v>As of date</x:v>
      </x:c>
      <x:c r="B7" s="12" t="str">
        <x:v>Subfund</x:v>
      </x:c>
      <x:c r="C7" s="12" t="str">
        <x:v>Account</x:v>
      </x:c>
      <x:c r="D7" s="12" t="str">
        <x:v>ISIN</x:v>
      </x:c>
      <x:c r="E7" s="12" t="str">
        <x:v>Security</x:v>
      </x:c>
      <x:c r="F7" s="12" t="str">
        <x:v>Currency</x:v>
      </x:c>
      <x:c r="G7" s="12" t="str">
        <x:v>Eligible nominal amount</x:v>
      </x:c>
      <x:c r="H7" s="12" t="str">
        <x:v>Position note</x:v>
      </x:c>
    </x:row>
    <x:row r="8">
      <x:c r="A8" s="13" t="n">
        <x:v>45046</x:v>
      </x:c>
      <x:c r="B8" s="14" t="str">
        <x:v>Horizon Credit Fund A</x:v>
      </x:c>
      <x:c r="C8" s="14" t="str">
        <x:v>AC-1001</x:v>
      </x:c>
      <x:c r="D8" s="14" t="str">
        <x:v>XS1076957700</x:v>
      </x:c>
      <x:c r="E8" s="14" t="str">
        <x:v>Credit Suisse Group AG 6.25% Perpetual</x:v>
      </x:c>
      <x:c r="F8" s="14" t="str">
        <x:v>USD</x:v>
      </x:c>
      <x:c r="G8" s="15" t="n">
        <x:v>600000</x:v>
      </x:c>
      <x:c r="H8" s="14" t="str">
        <x:v>Reduced by 400,000 from the prior statement</x:v>
      </x:c>
    </x:row>
    <x:row r="9">
      <x:c r="A9" s="13" t="n">
        <x:v>45046</x:v>
      </x:c>
      <x:c r="B9" s="14" t="str">
        <x:v>Horizon Credit Fund B</x:v>
      </x:c>
      <x:c r="C9" s="14" t="str">
        <x:v>AC-2001</x:v>
      </x:c>
      <x:c r="D9" s="14" t="str">
        <x:v>XS1076957700</x:v>
      </x:c>
      <x:c r="E9" s="14" t="str">
        <x:v>Credit Suisse Group AG 6.25% Perpetual</x:v>
      </x:c>
      <x:c r="F9" s="14" t="str">
        <x:v>USD</x:v>
      </x:c>
      <x:c r="G9" s="15" t="n">
        <x:v>1000000</x:v>
      </x:c>
      <x:c r="H9" s="14" t="str">
        <x:v>Increased by 400,000 from the prior statement</x:v>
      </x:c>
    </x:row>
    <x:row r="10">
      <x:c r="A10" s="13" t="n">
        <x:v>45046</x:v>
      </x:c>
      <x:c r="B10" s="14" t="str">
        <x:v>Meridian Income Fund C</x:v>
      </x:c>
      <x:c r="C10" s="14" t="str">
        <x:v>AC-3001</x:v>
      </x:c>
      <x:c r="D10" s="14" t="str">
        <x:v>XS1076957700</x:v>
      </x:c>
      <x:c r="E10" s="14" t="str">
        <x:v>Credit Suisse Group AG 6.25% Perpetual</x:v>
      </x:c>
      <x:c r="F10" s="14" t="str">
        <x:v>USD</x:v>
      </x:c>
      <x:c r="G10" s="15" t="n">
        <x:v>400000</x:v>
      </x:c>
      <x:c r="H10" s="14" t="str">
        <x:v>Holding unchanged; participation assessed separately</x:v>
      </x:c>
    </x:row>
    <x:row r="12">
      <x:c r="A12" s="18" t="str">
        <x:v>Control total eligible nominal amount</x:v>
      </x:c>
      <x:c r="B12" s="18"/>
      <x:c r="C12" s="18"/>
      <x:c r="D12" s="18"/>
      <x:c r="E12" s="18"/>
      <x:c r="F12" s="18"/>
      <x:c r="G12" s="19" t="n">
        <x:f>SUM(G8:G10)</x:f>
        <x:v>2000000</x:v>
      </x:c>
    </x:row>
    <x:row r="14">
      <x:c r="A14" s="21" t="str">
        <x:v>Purpose: compare dated positions. A security holding movement is a factual observation only; it does not by itself establish a legal-right assignment, litigation status, or billing entitlement.</x:v>
      </x:c>
    </x:row>
  </x:sheetData>
  <x:mergeCells>
    <x:mergeCell ref="A1:H1"/>
    <x:mergeCell ref="A12:F12"/>
    <x:mergeCell ref="A14:H15"/>
  </x:mergeCells>
  <x:pageMargins left="0.7" right="0.7" top="0.75" bottom="0.75" header="0.3" footer="0.3"/>
</x:worksheet>
</file>